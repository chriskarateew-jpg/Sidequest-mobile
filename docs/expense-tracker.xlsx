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  <sheet sheetId="2" name="Break-Even Analysis" state="visible" r:id="rId5"/>
  </sheets>
  <calcPr calcId="171027"/>
</workbook>
</file>

<file path=xl/sharedStrings.xml><?xml version="1.0" encoding="utf-8"?>
<sst xmlns="http://schemas.openxmlformats.org/spreadsheetml/2006/main" count="122" uniqueCount="80">
  <si>
    <t>Item</t>
  </si>
  <si>
    <t>Category</t>
  </si>
  <si>
    <t>Frequency</t>
  </si>
  <si>
    <t>Amount (USD)</t>
  </si>
  <si>
    <t>Annualized Cost</t>
  </si>
  <si>
    <t>Confirmed?</t>
  </si>
  <si>
    <t>Notes</t>
  </si>
  <si>
    <t>Domain registration (Cloudflare Registrar)</t>
  </si>
  <si>
    <t>Fixed</t>
  </si>
  <si>
    <t>Annual</t>
  </si>
  <si>
    <t>Yes</t>
  </si>
  <si>
    <t>Confirmed real charge. Auto-renews by default even though you did not opt into yearly renewal — check the renewal toggle in the Cloudflare dashboard if you want to turn it off.</t>
  </si>
  <si>
    <t>Cloudflare Workers (compute)</t>
  </si>
  <si>
    <t>Variable</t>
  </si>
  <si>
    <t>Usage-based</t>
  </si>
  <si>
    <t>Yes (free tier)</t>
  </si>
  <si>
    <t>Free up to 100k requests/day. Watch this once real traffic grows.</t>
  </si>
  <si>
    <t>Cloudflare D1 (database)</t>
  </si>
  <si>
    <t>Free up to 5GB storage / 5M rows read per day.</t>
  </si>
  <si>
    <t>Cloudflare R2 (photo storage)</t>
  </si>
  <si>
    <t>Free up to 10GB storage; egress is always free on R2.</t>
  </si>
  <si>
    <t>Cloudflare KV (rate limiting)</t>
  </si>
  <si>
    <t>Free up to 100k reads/day.</t>
  </si>
  <si>
    <t>Resend (transactional email)</t>
  </si>
  <si>
    <t>Free tier is limited (roughly 3,000 emails/month as of setup) — confirm current limits at resend.com/pricing before real user volume.</t>
  </si>
  <si>
    <t>Anthropic API — Claude Haiku (challenge copy + photo verification)</t>
  </si>
  <si>
    <t>TBD</t>
  </si>
  <si>
    <t>Pay-as-you-go, scales with local-challenge generations and /verify calls. Check console.anthropic.com for actual monthly spend and fill in here.</t>
  </si>
  <si>
    <t>LLC formation filing fee</t>
  </si>
  <si>
    <t>One-time</t>
  </si>
  <si>
    <t>Varies by state, typically $50–$500 (see docs/gumpa-plus-billing-roadmap.md Phase 1). Update once filed.</t>
  </si>
  <si>
    <t>Registered agent</t>
  </si>
  <si>
    <t>Only needed if your state requires one and you are not acting as your own.</t>
  </si>
  <si>
    <t>EIN (IRS)</t>
  </si>
  <si>
    <t>Yes ($0)</t>
  </si>
  <si>
    <t>Free, instant online once the LLC is approved.</t>
  </si>
  <si>
    <t>Business bank account (Mercury / Relay)</t>
  </si>
  <si>
    <t>Monthly</t>
  </si>
  <si>
    <t>No monthly fees on either, per the roadmap doc.</t>
  </si>
  <si>
    <t>D-U-N-S number</t>
  </si>
  <si>
    <t>Free, can take 1–2 weeks to issue.</t>
  </si>
  <si>
    <t>Apple Developer Program</t>
  </si>
  <si>
    <t>Subscription</t>
  </si>
  <si>
    <t>Standard published fee, required before App Store submission.</t>
  </si>
  <si>
    <t>Google Play Console</t>
  </si>
  <si>
    <t>Standard published one-time registration fee.</t>
  </si>
  <si>
    <t>RevenueCat</t>
  </si>
  <si>
    <t>Free tier exists; confirm current pricing at revenuecat.com/pricing before subscriptions go live.</t>
  </si>
  <si>
    <t>ToS / Privacy Policy generator (Termly, Iubenda, etc.)</t>
  </si>
  <si>
    <t>Pricing varies by plan/provider — confirm before subscribing.</t>
  </si>
  <si>
    <t>Bookkeeping software (Wave / QuickBooks)</t>
  </si>
  <si>
    <t>Wave is free; QuickBooks Simple Start is paid — confirm current price for the tier you pick.</t>
  </si>
  <si>
    <t>CPA consultation</t>
  </si>
  <si>
    <t>One-time / Annual</t>
  </si>
  <si>
    <t>Cost varies by CPA and scope of the engagement.</t>
  </si>
  <si>
    <t>Summary</t>
  </si>
  <si>
    <t>Total annual cost (all items)</t>
  </si>
  <si>
    <t xml:space="preserve">  of which Fixed</t>
  </si>
  <si>
    <t xml:space="preserve">  of which Variable</t>
  </si>
  <si>
    <t xml:space="preserve">  of which Subscription</t>
  </si>
  <si>
    <t>Break-even analysis (edit the yellow cells)</t>
  </si>
  <si>
    <t>Total annual operating cost</t>
  </si>
  <si>
    <t>Pulled automatically from the Expenses sheet total.</t>
  </si>
  <si>
    <t>Assumptions (edit these)</t>
  </si>
  <si>
    <t>Gumpa+ price per subscriber / month</t>
  </si>
  <si>
    <t>Not locked in yet per the roadmap doc — placeholder, change freely.</t>
  </si>
  <si>
    <t>Apple / Google commission</t>
  </si>
  <si>
    <t>Default 15% (Apple Small Business Program / Google standard tier). Use 30% if not enrolled in the reduced-rate program.</t>
  </si>
  <si>
    <t>Avg. reward redemption cost per subscriber / month</t>
  </si>
  <si>
    <t>Ties to the token exchange rate, not finalized yet — see gumpa-plus-billing-roadmap.md Phase 5.</t>
  </si>
  <si>
    <t>Results</t>
  </si>
  <si>
    <t>Net revenue per subscriber / month</t>
  </si>
  <si>
    <t>Price minus the app store cut.</t>
  </si>
  <si>
    <t>Contribution margin per subscriber / month</t>
  </si>
  <si>
    <t>What is actually left after redemption costs, before fixed/subscription overhead.</t>
  </si>
  <si>
    <t>Contribution margin %</t>
  </si>
  <si>
    <t>Contribution margin as a share of the subscription price.</t>
  </si>
  <si>
    <t>Contribution margin per subscriber / year</t>
  </si>
  <si>
    <t>Subscribers needed to break even</t>
  </si>
  <si>
    <t>Total annual operating cost divided by annual contribution margin per subscriber.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</si>
</sst>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  <font>
      <b/>
    </font>
    <font>
      <b/>
      <sz val="14"/>
    </font>
    <font>
      <i/>
      <color rgb="FF6E7178"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1A2FE5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0" fontId="0" fillId="0" borderId="0" xfId="0" applyAlignment="1">
      <alignment vertical="top" wrapText="1"/>
    </xf>
    <xf numFmtId="0" fontId="0" fillId="3" borderId="0" xfId="0" applyFill="1"/>
    <xf numFmtId="164" fontId="0" fillId="3" borderId="0" xfId="0" applyNumberFormat="1" applyFill="1"/>
    <xf numFmtId="0" fontId="0" fillId="3" borderId="0" xfId="0" applyFill="1" applyAlignment="1">
      <alignment vertical="top"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9" fontId="0" fillId="3" borderId="0" xfId="0" applyNumberFormat="1" applyFill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4" width="14" customWidth="1"/>
    <col min="5" max="5" width="16" customWidth="1"/>
    <col min="6" max="6" width="12" customWidth="1"/>
    <col min="7" max="7" width="7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10.46</v>
      </c>
      <c r="E2" s="2">
        <f>IF(C2="Monthly",D2*12,D2)</f>
      </c>
      <c r="F2" t="s">
        <v>10</v>
      </c>
      <c r="G2" s="3" t="s">
        <v>11</v>
      </c>
    </row>
    <row r="3" spans="1:7" x14ac:dyDescent="0.25">
      <c r="A3" t="s">
        <v>12</v>
      </c>
      <c r="B3" t="s">
        <v>13</v>
      </c>
      <c r="C3" t="s">
        <v>14</v>
      </c>
      <c r="D3" s="2">
        <v>0</v>
      </c>
      <c r="E3" s="2">
        <f>IF(C3="Monthly",D3*12,D3)</f>
      </c>
      <c r="F3" t="s">
        <v>15</v>
      </c>
      <c r="G3" s="3" t="s">
        <v>16</v>
      </c>
    </row>
    <row r="4" spans="1:7" x14ac:dyDescent="0.25">
      <c r="A4" t="s">
        <v>17</v>
      </c>
      <c r="B4" t="s">
        <v>13</v>
      </c>
      <c r="C4" t="s">
        <v>14</v>
      </c>
      <c r="D4" s="2">
        <v>0</v>
      </c>
      <c r="E4" s="2">
        <f>IF(C4="Monthly",D4*12,D4)</f>
      </c>
      <c r="F4" t="s">
        <v>15</v>
      </c>
      <c r="G4" s="3" t="s">
        <v>18</v>
      </c>
    </row>
    <row r="5" spans="1:7" x14ac:dyDescent="0.25">
      <c r="A5" t="s">
        <v>19</v>
      </c>
      <c r="B5" t="s">
        <v>13</v>
      </c>
      <c r="C5" t="s">
        <v>14</v>
      </c>
      <c r="D5" s="2">
        <v>0</v>
      </c>
      <c r="E5" s="2">
        <f>IF(C5="Monthly",D5*12,D5)</f>
      </c>
      <c r="F5" t="s">
        <v>15</v>
      </c>
      <c r="G5" s="3" t="s">
        <v>20</v>
      </c>
    </row>
    <row r="6" spans="1:7" x14ac:dyDescent="0.25">
      <c r="A6" t="s">
        <v>21</v>
      </c>
      <c r="B6" t="s">
        <v>13</v>
      </c>
      <c r="C6" t="s">
        <v>14</v>
      </c>
      <c r="D6" s="2">
        <v>0</v>
      </c>
      <c r="E6" s="2">
        <f>IF(C6="Monthly",D6*12,D6)</f>
      </c>
      <c r="F6" t="s">
        <v>15</v>
      </c>
      <c r="G6" s="3" t="s">
        <v>22</v>
      </c>
    </row>
    <row r="7" spans="1:7" x14ac:dyDescent="0.25">
      <c r="A7" t="s">
        <v>23</v>
      </c>
      <c r="B7" t="s">
        <v>13</v>
      </c>
      <c r="C7" t="s">
        <v>14</v>
      </c>
      <c r="D7" s="2">
        <v>0</v>
      </c>
      <c r="E7" s="2">
        <f>IF(C7="Monthly",D7*12,D7)</f>
      </c>
      <c r="F7" t="s">
        <v>15</v>
      </c>
      <c r="G7" s="3" t="s">
        <v>24</v>
      </c>
    </row>
    <row r="8" spans="1:7" x14ac:dyDescent="0.25">
      <c r="A8" s="4" t="s">
        <v>25</v>
      </c>
      <c r="B8" s="4" t="s">
        <v>13</v>
      </c>
      <c r="C8" s="4" t="s">
        <v>14</v>
      </c>
      <c r="D8" s="5">
        <v>0</v>
      </c>
      <c r="E8" s="5">
        <f>IF(C8="Monthly",D8*12,D8)</f>
      </c>
      <c r="F8" s="4" t="s">
        <v>26</v>
      </c>
      <c r="G8" s="6" t="s">
        <v>27</v>
      </c>
    </row>
    <row r="9" spans="1:7" x14ac:dyDescent="0.25">
      <c r="A9" s="4" t="s">
        <v>28</v>
      </c>
      <c r="B9" s="4" t="s">
        <v>8</v>
      </c>
      <c r="C9" s="4" t="s">
        <v>29</v>
      </c>
      <c r="D9" s="5">
        <v>0</v>
      </c>
      <c r="E9" s="5">
        <f>IF(C9="Monthly",D9*12,D9)</f>
      </c>
      <c r="F9" s="4" t="s">
        <v>26</v>
      </c>
      <c r="G9" s="6" t="s">
        <v>30</v>
      </c>
    </row>
    <row r="10" spans="1:7" x14ac:dyDescent="0.25">
      <c r="A10" s="4" t="s">
        <v>31</v>
      </c>
      <c r="B10" s="4" t="s">
        <v>8</v>
      </c>
      <c r="C10" s="4" t="s">
        <v>9</v>
      </c>
      <c r="D10" s="5">
        <v>0</v>
      </c>
      <c r="E10" s="5">
        <f>IF(C10="Monthly",D10*12,D10)</f>
      </c>
      <c r="F10" s="4" t="s">
        <v>26</v>
      </c>
      <c r="G10" s="6" t="s">
        <v>32</v>
      </c>
    </row>
    <row r="11" spans="1:7" x14ac:dyDescent="0.25">
      <c r="A11" t="s">
        <v>33</v>
      </c>
      <c r="B11" t="s">
        <v>8</v>
      </c>
      <c r="C11" t="s">
        <v>29</v>
      </c>
      <c r="D11" s="2">
        <v>0</v>
      </c>
      <c r="E11" s="2">
        <f>IF(C11="Monthly",D11*12,D11)</f>
      </c>
      <c r="F11" t="s">
        <v>34</v>
      </c>
      <c r="G11" s="3" t="s">
        <v>35</v>
      </c>
    </row>
    <row r="12" spans="1:7" x14ac:dyDescent="0.25">
      <c r="A12" t="s">
        <v>36</v>
      </c>
      <c r="B12" t="s">
        <v>8</v>
      </c>
      <c r="C12" t="s">
        <v>37</v>
      </c>
      <c r="D12" s="2">
        <v>0</v>
      </c>
      <c r="E12" s="2">
        <f>IF(C12="Monthly",D12*12,D12)</f>
      </c>
      <c r="F12" t="s">
        <v>34</v>
      </c>
      <c r="G12" s="3" t="s">
        <v>38</v>
      </c>
    </row>
    <row r="13" spans="1:7" x14ac:dyDescent="0.25">
      <c r="A13" t="s">
        <v>39</v>
      </c>
      <c r="B13" t="s">
        <v>8</v>
      </c>
      <c r="C13" t="s">
        <v>29</v>
      </c>
      <c r="D13" s="2">
        <v>0</v>
      </c>
      <c r="E13" s="2">
        <f>IF(C13="Monthly",D13*12,D13)</f>
      </c>
      <c r="F13" t="s">
        <v>34</v>
      </c>
      <c r="G13" s="3" t="s">
        <v>40</v>
      </c>
    </row>
    <row r="14" spans="1:7" x14ac:dyDescent="0.25">
      <c r="A14" t="s">
        <v>41</v>
      </c>
      <c r="B14" t="s">
        <v>42</v>
      </c>
      <c r="C14" t="s">
        <v>9</v>
      </c>
      <c r="D14" s="2">
        <v>99</v>
      </c>
      <c r="E14" s="2">
        <f>IF(C14="Monthly",D14*12,D14)</f>
      </c>
      <c r="F14" t="s">
        <v>10</v>
      </c>
      <c r="G14" s="3" t="s">
        <v>43</v>
      </c>
    </row>
    <row r="15" spans="1:7" x14ac:dyDescent="0.25">
      <c r="A15" t="s">
        <v>44</v>
      </c>
      <c r="B15" t="s">
        <v>8</v>
      </c>
      <c r="C15" t="s">
        <v>29</v>
      </c>
      <c r="D15" s="2">
        <v>25</v>
      </c>
      <c r="E15" s="2">
        <f>IF(C15="Monthly",D15*12,D15)</f>
      </c>
      <c r="F15" t="s">
        <v>10</v>
      </c>
      <c r="G15" s="3" t="s">
        <v>45</v>
      </c>
    </row>
    <row r="16" spans="1:7" x14ac:dyDescent="0.25">
      <c r="A16" s="4" t="s">
        <v>46</v>
      </c>
      <c r="B16" s="4" t="s">
        <v>13</v>
      </c>
      <c r="C16" s="4" t="s">
        <v>14</v>
      </c>
      <c r="D16" s="5">
        <v>0</v>
      </c>
      <c r="E16" s="5">
        <f>IF(C16="Monthly",D16*12,D16)</f>
      </c>
      <c r="F16" s="4" t="s">
        <v>26</v>
      </c>
      <c r="G16" s="6" t="s">
        <v>47</v>
      </c>
    </row>
    <row r="17" spans="1:7" x14ac:dyDescent="0.25">
      <c r="A17" s="4" t="s">
        <v>48</v>
      </c>
      <c r="B17" s="4" t="s">
        <v>42</v>
      </c>
      <c r="C17" s="4" t="s">
        <v>37</v>
      </c>
      <c r="D17" s="5">
        <v>0</v>
      </c>
      <c r="E17" s="5">
        <f>IF(C17="Monthly",D17*12,D17)</f>
      </c>
      <c r="F17" s="4" t="s">
        <v>26</v>
      </c>
      <c r="G17" s="6" t="s">
        <v>49</v>
      </c>
    </row>
    <row r="18" spans="1:7" x14ac:dyDescent="0.25">
      <c r="A18" s="4" t="s">
        <v>50</v>
      </c>
      <c r="B18" s="4" t="s">
        <v>42</v>
      </c>
      <c r="C18" s="4" t="s">
        <v>37</v>
      </c>
      <c r="D18" s="5">
        <v>0</v>
      </c>
      <c r="E18" s="5">
        <f>IF(C18="Monthly",D18*12,D18)</f>
      </c>
      <c r="F18" s="4" t="s">
        <v>26</v>
      </c>
      <c r="G18" s="6" t="s">
        <v>51</v>
      </c>
    </row>
    <row r="19" spans="1:7" x14ac:dyDescent="0.25">
      <c r="A19" s="4" t="s">
        <v>52</v>
      </c>
      <c r="B19" s="4" t="s">
        <v>13</v>
      </c>
      <c r="C19" s="4" t="s">
        <v>53</v>
      </c>
      <c r="D19" s="5">
        <v>0</v>
      </c>
      <c r="E19" s="5">
        <f>IF(C19="Monthly",D19*12,D19)</f>
      </c>
      <c r="F19" s="4" t="s">
        <v>26</v>
      </c>
      <c r="G19" s="6" t="s">
        <v>54</v>
      </c>
    </row>
    <row r="21" spans="1:1" x14ac:dyDescent="0.25">
      <c r="A21" s="7" t="s">
        <v>55</v>
      </c>
    </row>
    <row r="22" spans="1:2" x14ac:dyDescent="0.25">
      <c r="A22" s="8" t="s">
        <v>56</v>
      </c>
      <c r="B22" s="9">
        <f>SUM(E2:E19)</f>
      </c>
    </row>
    <row r="23" spans="1:2" x14ac:dyDescent="0.25">
      <c r="A23" t="s">
        <v>57</v>
      </c>
      <c r="B23" s="2">
        <f>SUMIF(B2:B19,"Fixed",E2:E19)</f>
      </c>
    </row>
    <row r="24" spans="1:2" x14ac:dyDescent="0.25">
      <c r="A24" t="s">
        <v>58</v>
      </c>
      <c r="B24" s="2">
        <f>SUMIF(B2:B19,"Variable",E2:E19)</f>
      </c>
    </row>
    <row r="25" spans="1:2" x14ac:dyDescent="0.25">
      <c r="A25" t="s">
        <v>59</v>
      </c>
      <c r="B25" s="2">
        <f>SUMIF(B2:B19,"Subscription",E2:E19)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44" customWidth="1"/>
    <col min="2" max="2" width="18" customWidth="1"/>
    <col min="3" max="3" width="60" customWidth="1"/>
  </cols>
  <sheetData>
    <row r="1" spans="1:3" x14ac:dyDescent="0.25">
      <c r="A1" s="10" t="s">
        <v>60</v>
      </c>
      <c r="B1" s="10"/>
      <c r="C1" s="10"/>
    </row>
    <row r="3" spans="1:3" x14ac:dyDescent="0.25">
      <c r="A3" t="s">
        <v>61</v>
      </c>
      <c r="B3" s="2">
        <f>Expenses!$B$22</f>
      </c>
      <c r="C3" s="11" t="s">
        <v>62</v>
      </c>
    </row>
    <row r="5" spans="1:1" x14ac:dyDescent="0.25">
      <c r="A5" s="12" t="s">
        <v>63</v>
      </c>
    </row>
    <row r="6" spans="1:3" x14ac:dyDescent="0.25">
      <c r="A6" t="s">
        <v>64</v>
      </c>
      <c r="B6" s="5">
        <v>4.99</v>
      </c>
      <c r="C6" s="11" t="s">
        <v>65</v>
      </c>
    </row>
    <row r="7" spans="1:3" x14ac:dyDescent="0.25">
      <c r="A7" t="s">
        <v>66</v>
      </c>
      <c r="B7" s="13">
        <v>0.15</v>
      </c>
      <c r="C7" s="11" t="s">
        <v>67</v>
      </c>
    </row>
    <row r="8" spans="1:3" x14ac:dyDescent="0.25">
      <c r="A8" t="s">
        <v>68</v>
      </c>
      <c r="B8" s="5">
        <v>0</v>
      </c>
      <c r="C8" s="11" t="s">
        <v>69</v>
      </c>
    </row>
    <row r="10" spans="1:1" x14ac:dyDescent="0.25">
      <c r="A10" s="12" t="s">
        <v>70</v>
      </c>
    </row>
    <row r="11" spans="1:3" x14ac:dyDescent="0.25">
      <c r="A11" t="s">
        <v>71</v>
      </c>
      <c r="B11" s="2">
        <f>B6*(1-B7)</f>
      </c>
      <c r="C11" s="11" t="s">
        <v>72</v>
      </c>
    </row>
    <row r="12" spans="1:3" x14ac:dyDescent="0.25">
      <c r="A12" t="s">
        <v>73</v>
      </c>
      <c r="B12" s="2">
        <f>B11-B8</f>
      </c>
      <c r="C12" s="11" t="s">
        <v>74</v>
      </c>
    </row>
    <row r="13" spans="1:3" x14ac:dyDescent="0.25">
      <c r="A13" t="s">
        <v>75</v>
      </c>
      <c r="B13" s="14">
        <f>B12/B6</f>
      </c>
      <c r="C13" s="11" t="s">
        <v>76</v>
      </c>
    </row>
    <row r="14" spans="1:2" x14ac:dyDescent="0.25">
      <c r="A14" t="s">
        <v>77</v>
      </c>
      <c r="B14" s="2">
        <f>B12*12</f>
      </c>
    </row>
    <row r="15" spans="1:3" x14ac:dyDescent="0.25">
      <c r="A15" t="s">
        <v>78</v>
      </c>
      <c r="B15" s="15">
        <f>IF(B14&lt;=0,"n/a (raise price or cut redemption cost)",B3/B14)</f>
      </c>
      <c r="C15" s="11" t="s">
        <v>79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Break-Even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2026-08-02T22:20:33Z</dcterms:created>
  <dcterms:modified xsi:type="dcterms:W3CDTF">2026-08-02T22:20:33Z</dcterms:modified>
</cp:coreProperties>
</file>